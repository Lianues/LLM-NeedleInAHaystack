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111\LLM-NeedleInAHaystack\test_results\gemini_3_pro_preview_11_2025\"/>
    </mc:Choice>
  </mc:AlternateContent>
  <xr:revisionPtr revIDLastSave="0" documentId="8_{374CE123-594E-43F0-BD0A-682E025B3941}" xr6:coauthVersionLast="47" xr6:coauthVersionMax="47" xr10:uidLastSave="{00000000-0000-0000-0000-000000000000}"/>
  <bookViews>
    <workbookView xWindow="-110" yWindow="-110" windowWidth="25820" windowHeight="14620" xr2:uid="{58898F7C-67C2-4EC0-A511-F699C1A60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M11" i="1"/>
  <c r="N11" i="1"/>
  <c r="O11" i="1"/>
  <c r="P11" i="1"/>
  <c r="P6" i="1"/>
  <c r="L6" i="1"/>
  <c r="M6" i="1"/>
  <c r="N6" i="1"/>
  <c r="O6" i="1"/>
  <c r="B6" i="1"/>
  <c r="B11" i="1"/>
  <c r="I11" i="1"/>
  <c r="J11" i="1"/>
  <c r="K11" i="1"/>
  <c r="I6" i="1"/>
  <c r="J6" i="1"/>
  <c r="K6" i="1"/>
  <c r="D11" i="1"/>
  <c r="E11" i="1"/>
  <c r="F11" i="1"/>
  <c r="G11" i="1"/>
  <c r="H11" i="1"/>
  <c r="C11" i="1"/>
  <c r="D6" i="1"/>
  <c r="E6" i="1"/>
  <c r="F6" i="1"/>
  <c r="G6" i="1"/>
  <c r="H6" i="1"/>
  <c r="C6" i="1"/>
</calcChain>
</file>

<file path=xl/sharedStrings.xml><?xml version="1.0" encoding="utf-8"?>
<sst xmlns="http://schemas.openxmlformats.org/spreadsheetml/2006/main" count="6" uniqueCount="6">
  <si>
    <t>上下文对数</t>
    <phoneticPr fontId="1" type="noConversion"/>
  </si>
  <si>
    <t>上下文k</t>
    <phoneticPr fontId="1" type="noConversion"/>
  </si>
  <si>
    <t>准确率分数</t>
    <phoneticPr fontId="1" type="noConversion"/>
  </si>
  <si>
    <t>测试场次</t>
    <phoneticPr fontId="1" type="noConversion"/>
  </si>
  <si>
    <t>不遵守格式场次</t>
    <phoneticPr fontId="1" type="noConversion"/>
  </si>
  <si>
    <t>json失败几率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</si>
</sst>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6802827965435979E-2"/>
                  <c:y val="-4.0791901012373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5B-407D-B08E-C03DFEA2C3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Sheet1!$B$6:$P$6</c:f>
              <c:numCache>
                <c:formatCode>General</c:formatCode>
                <c:ptCount val="15"/>
                <c:pt idx="0">
                  <c:v>1</c:v>
                </c:pt>
                <c:pt idx="1">
                  <c:v>1.1760912590556813</c:v>
                </c:pt>
                <c:pt idx="2">
                  <c:v>1.3010299956639813</c:v>
                </c:pt>
                <c:pt idx="3">
                  <c:v>1.4771212547196624</c:v>
                </c:pt>
                <c:pt idx="4">
                  <c:v>1.505149978319906</c:v>
                </c:pt>
                <c:pt idx="5">
                  <c:v>1.5440680443502757</c:v>
                </c:pt>
                <c:pt idx="6">
                  <c:v>1.6020599913279623</c:v>
                </c:pt>
                <c:pt idx="7">
                  <c:v>1.6532125137753437</c:v>
                </c:pt>
                <c:pt idx="8">
                  <c:v>1.6989700043360187</c:v>
                </c:pt>
                <c:pt idx="9">
                  <c:v>1.8450980400142569</c:v>
                </c:pt>
                <c:pt idx="10">
                  <c:v>1.954242509439325</c:v>
                </c:pt>
                <c:pt idx="11">
                  <c:v>2</c:v>
                </c:pt>
                <c:pt idx="12">
                  <c:v>2.3010299956639813</c:v>
                </c:pt>
                <c:pt idx="13">
                  <c:v>2.6989700043360187</c:v>
                </c:pt>
                <c:pt idx="14">
                  <c:v>2.9542425094393248</c:v>
                </c:pt>
              </c:numCache>
            </c:numRef>
          </c:xVal>
          <c:yVal>
            <c:numRef>
              <c:f>Sheet1!$B$8:$P$8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98.09</c:v>
                </c:pt>
                <c:pt idx="3">
                  <c:v>91.33</c:v>
                </c:pt>
                <c:pt idx="4">
                  <c:v>75.27</c:v>
                </c:pt>
                <c:pt idx="5">
                  <c:v>46.55</c:v>
                </c:pt>
                <c:pt idx="6">
                  <c:v>19.71</c:v>
                </c:pt>
                <c:pt idx="7">
                  <c:v>16.670000000000002</c:v>
                </c:pt>
                <c:pt idx="8">
                  <c:v>10.31</c:v>
                </c:pt>
                <c:pt idx="9">
                  <c:v>9.26</c:v>
                </c:pt>
                <c:pt idx="10">
                  <c:v>7.77</c:v>
                </c:pt>
                <c:pt idx="11">
                  <c:v>9.3800000000000008</c:v>
                </c:pt>
                <c:pt idx="12">
                  <c:v>6.67</c:v>
                </c:pt>
                <c:pt idx="13">
                  <c:v>4.8899999999999997</c:v>
                </c:pt>
                <c:pt idx="14">
                  <c:v>3.13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31-4684-9FAE-F9814E8897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33575312"/>
        <c:axId val="1035376560"/>
      </c:scatterChart>
      <c:valAx>
        <c:axId val="1033575312"/>
        <c:scaling>
          <c:orientation val="minMax"/>
          <c:max val="2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对数上下文长度</a:t>
                </a:r>
                <a:r>
                  <a:rPr lang="en-US" altLang="zh-CN"/>
                  <a:t>/lg1000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5376560"/>
        <c:crosses val="autoZero"/>
        <c:crossBetween val="midCat"/>
      </c:valAx>
      <c:valAx>
        <c:axId val="10353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平均准确率得分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7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json失败几率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Sheet1!$B$6:$P$6</c:f>
              <c:numCache>
                <c:formatCode>General</c:formatCode>
                <c:ptCount val="15"/>
                <c:pt idx="0">
                  <c:v>1</c:v>
                </c:pt>
                <c:pt idx="1">
                  <c:v>1.1760912590556813</c:v>
                </c:pt>
                <c:pt idx="2">
                  <c:v>1.3010299956639813</c:v>
                </c:pt>
                <c:pt idx="3">
                  <c:v>1.4771212547196624</c:v>
                </c:pt>
                <c:pt idx="4">
                  <c:v>1.505149978319906</c:v>
                </c:pt>
                <c:pt idx="5">
                  <c:v>1.5440680443502757</c:v>
                </c:pt>
                <c:pt idx="6">
                  <c:v>1.6020599913279623</c:v>
                </c:pt>
                <c:pt idx="7">
                  <c:v>1.6532125137753437</c:v>
                </c:pt>
                <c:pt idx="8">
                  <c:v>1.6989700043360187</c:v>
                </c:pt>
                <c:pt idx="9">
                  <c:v>1.8450980400142569</c:v>
                </c:pt>
                <c:pt idx="10">
                  <c:v>1.954242509439325</c:v>
                </c:pt>
                <c:pt idx="11">
                  <c:v>2</c:v>
                </c:pt>
                <c:pt idx="12">
                  <c:v>2.3010299956639813</c:v>
                </c:pt>
                <c:pt idx="13">
                  <c:v>2.6989700043360187</c:v>
                </c:pt>
                <c:pt idx="14">
                  <c:v>2.9542425094393248</c:v>
                </c:pt>
              </c:numCache>
            </c:numRef>
          </c:xVal>
          <c:yVal>
            <c:numRef>
              <c:f>Sheet1!$B$11:$P$11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3.3333333333333333E-2</c:v>
                </c:pt>
                <c:pt idx="13">
                  <c:v>0.04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32-42C4-B7C9-0B89DEA83BA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62212704"/>
        <c:axId val="1062214144"/>
      </c:scatterChart>
      <c:valAx>
        <c:axId val="106221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对数上下文长度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/lg1000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4144"/>
        <c:crosses val="autoZero"/>
        <c:crossBetween val="midCat"/>
      </c:valAx>
      <c:valAx>
        <c:axId val="1062214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json</a:t>
                </a:r>
                <a:r>
                  <a:rPr lang="zh-CN" alt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输出失败概率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准确率分数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5527777777777776E-2"/>
                  <c:y val="-6.680491810181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04-4004-A903-07B9DBE6EA3F}"/>
                </c:ext>
              </c:extLst>
            </c:dLbl>
            <c:dLbl>
              <c:idx val="2"/>
              <c:layout>
                <c:manualLayout>
                  <c:x val="-2.1638888888888888E-2"/>
                  <c:y val="3.47993599730514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F4A-42C0-B74F-240CD24311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Sheet1!$B$7:$P$7</c:f>
              <c:numCache>
                <c:formatCode>General</c:formatCode>
                <c:ptCount val="1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32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70</c:v>
                </c:pt>
                <c:pt idx="10">
                  <c:v>90</c:v>
                </c:pt>
                <c:pt idx="11">
                  <c:v>100</c:v>
                </c:pt>
                <c:pt idx="12">
                  <c:v>200</c:v>
                </c:pt>
                <c:pt idx="13">
                  <c:v>500</c:v>
                </c:pt>
                <c:pt idx="14">
                  <c:v>900</c:v>
                </c:pt>
              </c:numCache>
            </c:numRef>
          </c:xVal>
          <c:yVal>
            <c:numRef>
              <c:f>Sheet1!$B$8:$P$8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98.09</c:v>
                </c:pt>
                <c:pt idx="3">
                  <c:v>91.33</c:v>
                </c:pt>
                <c:pt idx="4">
                  <c:v>75.27</c:v>
                </c:pt>
                <c:pt idx="5">
                  <c:v>46.55</c:v>
                </c:pt>
                <c:pt idx="6">
                  <c:v>19.71</c:v>
                </c:pt>
                <c:pt idx="7">
                  <c:v>16.670000000000002</c:v>
                </c:pt>
                <c:pt idx="8">
                  <c:v>10.31</c:v>
                </c:pt>
                <c:pt idx="9">
                  <c:v>9.26</c:v>
                </c:pt>
                <c:pt idx="10">
                  <c:v>7.77</c:v>
                </c:pt>
                <c:pt idx="11">
                  <c:v>9.3800000000000008</c:v>
                </c:pt>
                <c:pt idx="12">
                  <c:v>6.67</c:v>
                </c:pt>
                <c:pt idx="13">
                  <c:v>4.8899999999999997</c:v>
                </c:pt>
                <c:pt idx="14">
                  <c:v>3.13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01-404F-B2AA-4AA7128609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33438080"/>
        <c:axId val="633438560"/>
      </c:scatterChart>
      <c:valAx>
        <c:axId val="63343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上下文长度</a:t>
                </a:r>
                <a:r>
                  <a:rPr lang="en-US" altLang="zh-C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/1000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438560"/>
        <c:crosses val="autoZero"/>
        <c:crossBetween val="midCat"/>
      </c:valAx>
      <c:valAx>
        <c:axId val="6334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平均准确率得分</a:t>
                </a:r>
                <a:endParaRPr lang="en-US" altLang="zh-C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43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15</xdr:row>
      <xdr:rowOff>41274</xdr:rowOff>
    </xdr:from>
    <xdr:to>
      <xdr:col>11</xdr:col>
      <xdr:colOff>0</xdr:colOff>
      <xdr:row>37</xdr:row>
      <xdr:rowOff>19049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EF86A99-D263-5B96-2888-59685E841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63500</xdr:colOff>
      <xdr:row>16</xdr:row>
      <xdr:rowOff>158750</xdr:rowOff>
    </xdr:from>
    <xdr:to>
      <xdr:col>19</xdr:col>
      <xdr:colOff>184150</xdr:colOff>
      <xdr:row>37</xdr:row>
      <xdr:rowOff>133349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5D04987-EA88-DDAA-D133-0B2FB5BDF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311150</xdr:colOff>
      <xdr:row>11</xdr:row>
      <xdr:rowOff>158750</xdr:rowOff>
    </xdr:from>
    <xdr:to>
      <xdr:col>20</xdr:col>
      <xdr:colOff>260350</xdr:colOff>
      <xdr:row>25</xdr:row>
      <xdr:rowOff>44450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C991328-BF01-6A21-A8F0-74D0C2C4B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C963-1B49-4BC1-9B5F-974CC57C7A39}">
  <dimension ref="A6:P11"/>
  <sheetViews>
    <sheetView tabSelected="1" topLeftCell="A4" zoomScaleNormal="100" workbookViewId="0">
      <selection activeCell="Q7" sqref="Q7"/>
    </sheetView>
  </sheetViews>
  <sheetFormatPr defaultRowHeight="14" x14ac:dyDescent="0.3"/>
  <cols>
    <col min="1" max="2" width="15.08203125" customWidth="1"/>
  </cols>
  <sheetData>
    <row r="6" spans="1:16" x14ac:dyDescent="0.3">
      <c r="A6" t="s">
        <v>0</v>
      </c>
      <c r="B6">
        <f>LOG10(B7)</f>
        <v>1</v>
      </c>
      <c r="C6">
        <f>LOG10(C7)</f>
        <v>1.1760912590556813</v>
      </c>
      <c r="D6">
        <f>LOG10(D7)</f>
        <v>1.3010299956639813</v>
      </c>
      <c r="E6">
        <f t="shared" ref="E6:P6" si="0">LOG10(E7)</f>
        <v>1.4771212547196624</v>
      </c>
      <c r="F6">
        <f t="shared" si="0"/>
        <v>1.505149978319906</v>
      </c>
      <c r="G6">
        <f t="shared" si="0"/>
        <v>1.5440680443502757</v>
      </c>
      <c r="H6">
        <f t="shared" si="0"/>
        <v>1.6020599913279623</v>
      </c>
      <c r="I6">
        <f t="shared" si="0"/>
        <v>1.6532125137753437</v>
      </c>
      <c r="J6">
        <f t="shared" si="0"/>
        <v>1.6989700043360187</v>
      </c>
      <c r="K6">
        <f t="shared" si="0"/>
        <v>1.8450980400142569</v>
      </c>
      <c r="L6">
        <f t="shared" si="0"/>
        <v>1.954242509439325</v>
      </c>
      <c r="M6">
        <f t="shared" si="0"/>
        <v>2</v>
      </c>
      <c r="N6">
        <f t="shared" si="0"/>
        <v>2.3010299956639813</v>
      </c>
      <c r="O6">
        <f t="shared" si="0"/>
        <v>2.6989700043360187</v>
      </c>
      <c r="P6">
        <f t="shared" si="0"/>
        <v>2.9542425094393248</v>
      </c>
    </row>
    <row r="7" spans="1:16" x14ac:dyDescent="0.3">
      <c r="A7" t="s">
        <v>1</v>
      </c>
      <c r="B7">
        <v>10</v>
      </c>
      <c r="C7">
        <v>15</v>
      </c>
      <c r="D7">
        <v>20</v>
      </c>
      <c r="E7">
        <v>30</v>
      </c>
      <c r="F7">
        <v>32</v>
      </c>
      <c r="G7">
        <v>35</v>
      </c>
      <c r="H7">
        <v>40</v>
      </c>
      <c r="I7">
        <v>45</v>
      </c>
      <c r="J7">
        <v>50</v>
      </c>
      <c r="K7">
        <v>70</v>
      </c>
      <c r="L7">
        <v>90</v>
      </c>
      <c r="M7">
        <v>100</v>
      </c>
      <c r="N7">
        <v>200</v>
      </c>
      <c r="O7">
        <v>500</v>
      </c>
      <c r="P7">
        <v>900</v>
      </c>
    </row>
    <row r="8" spans="1:16" x14ac:dyDescent="0.3">
      <c r="A8" t="s">
        <v>2</v>
      </c>
      <c r="B8">
        <v>100</v>
      </c>
      <c r="C8">
        <v>100</v>
      </c>
      <c r="D8">
        <v>98.09</v>
      </c>
      <c r="E8">
        <v>91.33</v>
      </c>
      <c r="F8">
        <v>75.27</v>
      </c>
      <c r="G8">
        <v>46.55</v>
      </c>
      <c r="H8">
        <v>19.71</v>
      </c>
      <c r="I8">
        <v>16.670000000000002</v>
      </c>
      <c r="J8">
        <v>10.31</v>
      </c>
      <c r="K8">
        <v>9.26</v>
      </c>
      <c r="L8">
        <v>7.77</v>
      </c>
      <c r="M8">
        <v>9.3800000000000008</v>
      </c>
      <c r="N8">
        <v>6.67</v>
      </c>
      <c r="O8">
        <v>4.8899999999999997</v>
      </c>
      <c r="P8">
        <v>3.13</v>
      </c>
    </row>
    <row r="9" spans="1:16" x14ac:dyDescent="0.3">
      <c r="A9" t="s">
        <v>3</v>
      </c>
      <c r="B9">
        <v>30</v>
      </c>
      <c r="C9">
        <v>31</v>
      </c>
      <c r="D9">
        <v>30</v>
      </c>
      <c r="E9">
        <v>30</v>
      </c>
      <c r="F9">
        <v>28</v>
      </c>
      <c r="G9">
        <v>29</v>
      </c>
      <c r="H9">
        <v>26</v>
      </c>
      <c r="I9">
        <v>27</v>
      </c>
      <c r="J9">
        <v>24</v>
      </c>
      <c r="K9">
        <v>28</v>
      </c>
      <c r="L9">
        <v>28</v>
      </c>
      <c r="M9">
        <v>28</v>
      </c>
      <c r="N9">
        <v>30</v>
      </c>
      <c r="O9">
        <v>25</v>
      </c>
      <c r="P9">
        <v>12</v>
      </c>
    </row>
    <row r="10" spans="1:16" x14ac:dyDescent="0.3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</row>
    <row r="11" spans="1:16" x14ac:dyDescent="0.3">
      <c r="A11" t="s">
        <v>5</v>
      </c>
      <c r="B11">
        <f>B10/B9</f>
        <v>0</v>
      </c>
      <c r="C11">
        <f>C10/C9</f>
        <v>0</v>
      </c>
      <c r="D11">
        <f t="shared" ref="D11:P11" si="1">D10/D9</f>
        <v>0</v>
      </c>
      <c r="E11">
        <f t="shared" si="1"/>
        <v>0</v>
      </c>
      <c r="F11">
        <f t="shared" si="1"/>
        <v>0</v>
      </c>
      <c r="G11">
        <f t="shared" si="1"/>
        <v>0</v>
      </c>
      <c r="H11">
        <f t="shared" si="1"/>
        <v>0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>
        <f t="shared" si="1"/>
        <v>3.3333333333333333E-2</v>
      </c>
      <c r="O11">
        <f t="shared" si="1"/>
        <v>0.04</v>
      </c>
      <c r="P11">
        <f t="shared" si="1"/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 恋</dc:creator>
  <cp:lastModifiedBy>月 恋</cp:lastModifiedBy>
  <dcterms:created xsi:type="dcterms:W3CDTF">2025-10-23T12:55:34Z</dcterms:created>
  <dcterms:modified xsi:type="dcterms:W3CDTF">2025-11-05T17:48:11Z</dcterms:modified>
</cp:coreProperties>
</file>