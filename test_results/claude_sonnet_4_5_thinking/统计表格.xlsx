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111\LLM-NeedleInAHaystack\test_results\claude_sonnet_4_5_thinking\"/>
    </mc:Choice>
  </mc:AlternateContent>
  <xr:revisionPtr revIDLastSave="0" documentId="13_ncr:1_{ECCA2EFC-3C4E-46F6-A199-95C02C6C693A}" xr6:coauthVersionLast="47" xr6:coauthVersionMax="47" xr10:uidLastSave="{00000000-0000-0000-0000-000000000000}"/>
  <bookViews>
    <workbookView xWindow="2220" yWindow="710" windowWidth="21200" windowHeight="13630" xr2:uid="{58898F7C-67C2-4EC0-A511-F699C1A60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11" i="1"/>
  <c r="I11" i="1"/>
  <c r="J11" i="1"/>
  <c r="K11" i="1"/>
  <c r="I6" i="1"/>
  <c r="J6" i="1"/>
  <c r="K6" i="1"/>
  <c r="D11" i="1"/>
  <c r="E11" i="1"/>
  <c r="F11" i="1"/>
  <c r="G11" i="1"/>
  <c r="H11" i="1"/>
  <c r="C11" i="1"/>
  <c r="D6" i="1"/>
  <c r="E6" i="1"/>
  <c r="F6" i="1"/>
  <c r="G6" i="1"/>
  <c r="H6" i="1"/>
  <c r="C6" i="1"/>
</calcChain>
</file>

<file path=xl/sharedStrings.xml><?xml version="1.0" encoding="utf-8"?>
<sst xmlns="http://schemas.openxmlformats.org/spreadsheetml/2006/main" count="6" uniqueCount="6">
  <si>
    <t>上下文对数</t>
    <phoneticPr fontId="1" type="noConversion"/>
  </si>
  <si>
    <t>上下文k</t>
    <phoneticPr fontId="1" type="noConversion"/>
  </si>
  <si>
    <t>准确率分数</t>
    <phoneticPr fontId="1" type="noConversion"/>
  </si>
  <si>
    <t>测试场次</t>
    <phoneticPr fontId="1" type="noConversion"/>
  </si>
  <si>
    <t>不遵守格式场次</t>
    <phoneticPr fontId="1" type="noConversion"/>
  </si>
  <si>
    <t>json失败几率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</si>
</sst>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6802827965435979E-2"/>
                  <c:y val="-4.0791901012373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3C-4E2F-AF9B-AAABE190E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Sheet1!$B$6:$J$6</c:f>
              <c:numCache>
                <c:formatCode>General</c:formatCode>
                <c:ptCount val="9"/>
                <c:pt idx="0">
                  <c:v>0.69897000433601886</c:v>
                </c:pt>
                <c:pt idx="1">
                  <c:v>1</c:v>
                </c:pt>
                <c:pt idx="2">
                  <c:v>1.3010299956639813</c:v>
                </c:pt>
                <c:pt idx="3">
                  <c:v>1.6020599913279623</c:v>
                </c:pt>
                <c:pt idx="4">
                  <c:v>1.7781512503836436</c:v>
                </c:pt>
                <c:pt idx="5">
                  <c:v>1.9030899869919435</c:v>
                </c:pt>
                <c:pt idx="6">
                  <c:v>2</c:v>
                </c:pt>
                <c:pt idx="7">
                  <c:v>2.0791812460476247</c:v>
                </c:pt>
                <c:pt idx="8">
                  <c:v>2.1760912590556813</c:v>
                </c:pt>
              </c:numCache>
            </c:numRef>
          </c:xVal>
          <c:yVal>
            <c:numRef>
              <c:f>Sheet1!$B$8:$J$8</c:f>
              <c:numCache>
                <c:formatCode>General</c:formatCode>
                <c:ptCount val="9"/>
                <c:pt idx="0">
                  <c:v>96.46</c:v>
                </c:pt>
                <c:pt idx="1">
                  <c:v>91.09</c:v>
                </c:pt>
                <c:pt idx="2">
                  <c:v>90.32</c:v>
                </c:pt>
                <c:pt idx="3">
                  <c:v>97.7</c:v>
                </c:pt>
                <c:pt idx="4">
                  <c:v>96.79</c:v>
                </c:pt>
                <c:pt idx="5">
                  <c:v>92.27</c:v>
                </c:pt>
                <c:pt idx="6">
                  <c:v>91.36</c:v>
                </c:pt>
                <c:pt idx="7">
                  <c:v>85.36</c:v>
                </c:pt>
                <c:pt idx="8">
                  <c:v>75.430000000000007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31-4684-9FAE-F9814E8897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33575312"/>
        <c:axId val="1035376560"/>
      </c:scatterChart>
      <c:valAx>
        <c:axId val="1033575312"/>
        <c:scaling>
          <c:orientation val="minMax"/>
          <c:max val="2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对数上下文长度</a:t>
                </a:r>
                <a:r>
                  <a:rPr lang="en-US" altLang="zh-CN"/>
                  <a:t>/lg1000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5376560"/>
        <c:crosses val="autoZero"/>
        <c:crossBetween val="midCat"/>
      </c:valAx>
      <c:valAx>
        <c:axId val="10353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平均准确率得分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7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json失败几率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Sheet1!$B$6:$K$6</c:f>
              <c:numCache>
                <c:formatCode>General</c:formatCode>
                <c:ptCount val="10"/>
                <c:pt idx="0">
                  <c:v>0.69897000433601886</c:v>
                </c:pt>
                <c:pt idx="1">
                  <c:v>1</c:v>
                </c:pt>
                <c:pt idx="2">
                  <c:v>1.3010299956639813</c:v>
                </c:pt>
                <c:pt idx="3">
                  <c:v>1.6020599913279623</c:v>
                </c:pt>
                <c:pt idx="4">
                  <c:v>1.7781512503836436</c:v>
                </c:pt>
                <c:pt idx="5">
                  <c:v>1.9030899869919435</c:v>
                </c:pt>
                <c:pt idx="6">
                  <c:v>2</c:v>
                </c:pt>
                <c:pt idx="7">
                  <c:v>2.0791812460476247</c:v>
                </c:pt>
                <c:pt idx="8">
                  <c:v>2.1760912590556813</c:v>
                </c:pt>
                <c:pt idx="9">
                  <c:v>2.255272505103306</c:v>
                </c:pt>
              </c:numCache>
            </c:numRef>
          </c:xVal>
          <c:yVal>
            <c:numRef>
              <c:f>Sheet1!$B$11:$K$11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0.11428571428571428</c:v>
                </c:pt>
                <c:pt idx="5">
                  <c:v>0.21739130434782608</c:v>
                </c:pt>
                <c:pt idx="6">
                  <c:v>0.47540983606557374</c:v>
                </c:pt>
                <c:pt idx="7">
                  <c:v>0.3</c:v>
                </c:pt>
                <c:pt idx="8">
                  <c:v>0.13725490196078433</c:v>
                </c:pt>
                <c:pt idx="9">
                  <c:v>2.4390243902439025E-2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32-42C4-B7C9-0B89DEA83BA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62212704"/>
        <c:axId val="1062214144"/>
      </c:scatterChart>
      <c:valAx>
        <c:axId val="106221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对数上下文长度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/lg1000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4144"/>
        <c:crosses val="autoZero"/>
        <c:crossBetween val="midCat"/>
      </c:valAx>
      <c:valAx>
        <c:axId val="1062214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json</a:t>
                </a:r>
                <a:r>
                  <a:rPr lang="zh-CN" alt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输出失败概率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准确率分数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5527777777777776E-2"/>
                  <c:y val="-6.680491810181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04-4004-A903-07B9DBE6EA3F}"/>
                </c:ext>
              </c:extLst>
            </c:dLbl>
            <c:dLbl>
              <c:idx val="2"/>
              <c:layout>
                <c:manualLayout>
                  <c:x val="-2.1638888888888888E-2"/>
                  <c:y val="3.47993599730514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BD-4C26-B010-F627C86F5C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Sheet1!$B$7:$K$7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80</c:v>
                </c:pt>
                <c:pt idx="6">
                  <c:v>100</c:v>
                </c:pt>
                <c:pt idx="7">
                  <c:v>120</c:v>
                </c:pt>
                <c:pt idx="8">
                  <c:v>150</c:v>
                </c:pt>
                <c:pt idx="9">
                  <c:v>180</c:v>
                </c:pt>
              </c:numCache>
            </c:numRef>
          </c:xVal>
          <c:yVal>
            <c:numRef>
              <c:f>Sheet1!$B$8:$K$8</c:f>
              <c:numCache>
                <c:formatCode>General</c:formatCode>
                <c:ptCount val="10"/>
                <c:pt idx="0">
                  <c:v>96.46</c:v>
                </c:pt>
                <c:pt idx="1">
                  <c:v>91.09</c:v>
                </c:pt>
                <c:pt idx="2">
                  <c:v>90.32</c:v>
                </c:pt>
                <c:pt idx="3">
                  <c:v>97.7</c:v>
                </c:pt>
                <c:pt idx="4">
                  <c:v>96.79</c:v>
                </c:pt>
                <c:pt idx="5">
                  <c:v>92.27</c:v>
                </c:pt>
                <c:pt idx="6">
                  <c:v>91.36</c:v>
                </c:pt>
                <c:pt idx="7">
                  <c:v>85.36</c:v>
                </c:pt>
                <c:pt idx="8">
                  <c:v>75.430000000000007</c:v>
                </c:pt>
                <c:pt idx="9">
                  <c:v>66.87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01-404F-B2AA-4AA7128609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33438080"/>
        <c:axId val="633438560"/>
      </c:scatterChart>
      <c:valAx>
        <c:axId val="63343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上下文长度</a:t>
                </a:r>
                <a:r>
                  <a:rPr lang="en-US" altLang="zh-C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/1000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438560"/>
        <c:crosses val="autoZero"/>
        <c:crossBetween val="midCat"/>
      </c:valAx>
      <c:valAx>
        <c:axId val="6334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平均准确率得分</a:t>
                </a:r>
                <a:endParaRPr lang="en-US" altLang="zh-C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43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15</xdr:row>
      <xdr:rowOff>41274</xdr:rowOff>
    </xdr:from>
    <xdr:to>
      <xdr:col>11</xdr:col>
      <xdr:colOff>0</xdr:colOff>
      <xdr:row>37</xdr:row>
      <xdr:rowOff>19049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EF86A99-D263-5B96-2888-59685E841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63500</xdr:colOff>
      <xdr:row>16</xdr:row>
      <xdr:rowOff>158750</xdr:rowOff>
    </xdr:from>
    <xdr:to>
      <xdr:col>19</xdr:col>
      <xdr:colOff>184150</xdr:colOff>
      <xdr:row>37</xdr:row>
      <xdr:rowOff>133349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5D04987-EA88-DDAA-D133-0B2FB5BDF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425450</xdr:colOff>
      <xdr:row>3</xdr:row>
      <xdr:rowOff>114300</xdr:rowOff>
    </xdr:from>
    <xdr:to>
      <xdr:col>20</xdr:col>
      <xdr:colOff>374650</xdr:colOff>
      <xdr:row>17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C991328-BF01-6A21-A8F0-74D0C2C4B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C963-1B49-4BC1-9B5F-974CC57C7A39}">
  <dimension ref="A6:K11"/>
  <sheetViews>
    <sheetView tabSelected="1" topLeftCell="A4" zoomScaleNormal="100" workbookViewId="0">
      <selection activeCell="M10" sqref="M10"/>
    </sheetView>
  </sheetViews>
  <sheetFormatPr defaultRowHeight="14" x14ac:dyDescent="0.3"/>
  <cols>
    <col min="1" max="2" width="15.08203125" customWidth="1"/>
  </cols>
  <sheetData>
    <row r="6" spans="1:11" x14ac:dyDescent="0.3">
      <c r="A6" t="s">
        <v>0</v>
      </c>
      <c r="B6">
        <f>LOG10(B7)</f>
        <v>0.69897000433601886</v>
      </c>
      <c r="C6">
        <f>LOG10(C7)</f>
        <v>1</v>
      </c>
      <c r="D6">
        <f>LOG10(D7)</f>
        <v>1.3010299956639813</v>
      </c>
      <c r="E6">
        <f t="shared" ref="E6:K6" si="0">LOG10(E7)</f>
        <v>1.6020599913279623</v>
      </c>
      <c r="F6">
        <f t="shared" si="0"/>
        <v>1.7781512503836436</v>
      </c>
      <c r="G6">
        <f t="shared" si="0"/>
        <v>1.9030899869919435</v>
      </c>
      <c r="H6">
        <f t="shared" si="0"/>
        <v>2</v>
      </c>
      <c r="I6">
        <f t="shared" si="0"/>
        <v>2.0791812460476247</v>
      </c>
      <c r="J6">
        <f t="shared" si="0"/>
        <v>2.1760912590556813</v>
      </c>
      <c r="K6">
        <f t="shared" si="0"/>
        <v>2.255272505103306</v>
      </c>
    </row>
    <row r="7" spans="1:11" x14ac:dyDescent="0.3">
      <c r="A7" t="s">
        <v>1</v>
      </c>
      <c r="B7">
        <v>5</v>
      </c>
      <c r="C7">
        <v>10</v>
      </c>
      <c r="D7">
        <v>20</v>
      </c>
      <c r="E7">
        <v>40</v>
      </c>
      <c r="F7">
        <v>60</v>
      </c>
      <c r="G7">
        <v>80</v>
      </c>
      <c r="H7">
        <v>100</v>
      </c>
      <c r="I7">
        <v>120</v>
      </c>
      <c r="J7">
        <v>150</v>
      </c>
      <c r="K7">
        <v>180</v>
      </c>
    </row>
    <row r="8" spans="1:11" x14ac:dyDescent="0.3">
      <c r="A8" t="s">
        <v>2</v>
      </c>
      <c r="B8">
        <v>96.46</v>
      </c>
      <c r="C8">
        <v>91.09</v>
      </c>
      <c r="D8">
        <v>90.32</v>
      </c>
      <c r="E8">
        <v>97.7</v>
      </c>
      <c r="F8">
        <v>96.79</v>
      </c>
      <c r="G8">
        <v>92.27</v>
      </c>
      <c r="H8">
        <v>91.36</v>
      </c>
      <c r="I8">
        <v>85.36</v>
      </c>
      <c r="J8">
        <v>75.430000000000007</v>
      </c>
      <c r="K8">
        <v>66.87</v>
      </c>
    </row>
    <row r="9" spans="1:11" x14ac:dyDescent="0.3">
      <c r="A9" t="s">
        <v>3</v>
      </c>
      <c r="B9">
        <v>36</v>
      </c>
      <c r="C9">
        <v>39</v>
      </c>
      <c r="D9">
        <v>39</v>
      </c>
      <c r="E9">
        <v>40</v>
      </c>
      <c r="F9">
        <v>35</v>
      </c>
      <c r="G9">
        <v>69</v>
      </c>
      <c r="H9">
        <v>61</v>
      </c>
      <c r="I9">
        <v>60</v>
      </c>
      <c r="J9">
        <v>51</v>
      </c>
      <c r="K9">
        <v>41</v>
      </c>
    </row>
    <row r="10" spans="1:11" x14ac:dyDescent="0.3">
      <c r="A10" t="s">
        <v>4</v>
      </c>
      <c r="B10">
        <v>0</v>
      </c>
      <c r="C10">
        <v>0</v>
      </c>
      <c r="D10">
        <v>0</v>
      </c>
      <c r="E10">
        <v>2</v>
      </c>
      <c r="F10">
        <v>4</v>
      </c>
      <c r="G10">
        <v>15</v>
      </c>
      <c r="H10">
        <v>29</v>
      </c>
      <c r="I10">
        <v>18</v>
      </c>
      <c r="J10">
        <v>7</v>
      </c>
      <c r="K10">
        <v>1</v>
      </c>
    </row>
    <row r="11" spans="1:11" x14ac:dyDescent="0.3">
      <c r="A11" t="s">
        <v>5</v>
      </c>
      <c r="B11">
        <f>B10/B9</f>
        <v>0</v>
      </c>
      <c r="C11">
        <f>C10/C9</f>
        <v>0</v>
      </c>
      <c r="D11">
        <f t="shared" ref="D11:K11" si="1">D10/D9</f>
        <v>0</v>
      </c>
      <c r="E11">
        <f t="shared" si="1"/>
        <v>0.05</v>
      </c>
      <c r="F11">
        <f t="shared" si="1"/>
        <v>0.11428571428571428</v>
      </c>
      <c r="G11">
        <f t="shared" si="1"/>
        <v>0.21739130434782608</v>
      </c>
      <c r="H11">
        <f t="shared" si="1"/>
        <v>0.47540983606557374</v>
      </c>
      <c r="I11">
        <f t="shared" si="1"/>
        <v>0.3</v>
      </c>
      <c r="J11">
        <f t="shared" si="1"/>
        <v>0.13725490196078433</v>
      </c>
      <c r="K11">
        <f t="shared" si="1"/>
        <v>2.4390243902439025E-2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 恋</dc:creator>
  <cp:lastModifiedBy>月 恋</cp:lastModifiedBy>
  <dcterms:created xsi:type="dcterms:W3CDTF">2025-10-23T12:55:34Z</dcterms:created>
  <dcterms:modified xsi:type="dcterms:W3CDTF">2025-11-06T05:17:29Z</dcterms:modified>
</cp:coreProperties>
</file>