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111\新建文件夹\数据分析\分析结果\gemini_2_5_flash_preview_09_2025\"/>
    </mc:Choice>
  </mc:AlternateContent>
  <xr:revisionPtr revIDLastSave="0" documentId="8_{9270440F-AC6D-4629-8EE6-CFC27F265236}" xr6:coauthVersionLast="47" xr6:coauthVersionMax="47" xr10:uidLastSave="{00000000-0000-0000-0000-000000000000}"/>
  <bookViews>
    <workbookView xWindow="-110" yWindow="-110" windowWidth="25820" windowHeight="14620" xr2:uid="{58898F7C-67C2-4EC0-A511-F699C1A604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M11" i="1"/>
  <c r="L6" i="1"/>
  <c r="M6" i="1"/>
  <c r="B6" i="1"/>
  <c r="B11" i="1"/>
  <c r="I11" i="1"/>
  <c r="J11" i="1"/>
  <c r="K11" i="1"/>
  <c r="I6" i="1"/>
  <c r="J6" i="1"/>
  <c r="K6" i="1"/>
  <c r="D11" i="1"/>
  <c r="E11" i="1"/>
  <c r="F11" i="1"/>
  <c r="G11" i="1"/>
  <c r="H11" i="1"/>
  <c r="C11" i="1"/>
  <c r="D6" i="1"/>
  <c r="E6" i="1"/>
  <c r="F6" i="1"/>
  <c r="G6" i="1"/>
  <c r="H6" i="1"/>
  <c r="C6" i="1"/>
</calcChain>
</file>

<file path=xl/sharedStrings.xml><?xml version="1.0" encoding="utf-8"?>
<sst xmlns="http://schemas.openxmlformats.org/spreadsheetml/2006/main" count="6" uniqueCount="6">
  <si>
    <t>上下文对数</t>
    <phoneticPr fontId="1" type="noConversion"/>
  </si>
  <si>
    <t>上下文k</t>
    <phoneticPr fontId="1" type="noConversion"/>
  </si>
  <si>
    <t>准确率分数</t>
    <phoneticPr fontId="1" type="noConversion"/>
  </si>
  <si>
    <t>测试场次</t>
    <phoneticPr fontId="1" type="noConversion"/>
  </si>
  <si>
    <t>不遵守格式场次</t>
    <phoneticPr fontId="1" type="noConversion"/>
  </si>
  <si>
    <t>json失败几率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</si>
</sst>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4.6802827965435979E-2"/>
                  <c:y val="-4.07919010123734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E2-4C04-ADF4-D39AF7D10B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Sheet1!$B$6:$M$6</c:f>
              <c:numCache>
                <c:formatCode>General</c:formatCode>
                <c:ptCount val="12"/>
                <c:pt idx="0">
                  <c:v>1</c:v>
                </c:pt>
                <c:pt idx="1">
                  <c:v>1.3010299956639813</c:v>
                </c:pt>
                <c:pt idx="2">
                  <c:v>1.4771212547196624</c:v>
                </c:pt>
                <c:pt idx="3">
                  <c:v>1.5440680443502757</c:v>
                </c:pt>
                <c:pt idx="4">
                  <c:v>1.6020599913279623</c:v>
                </c:pt>
                <c:pt idx="5">
                  <c:v>1.6532125137753437</c:v>
                </c:pt>
                <c:pt idx="6">
                  <c:v>1.7781512503836436</c:v>
                </c:pt>
                <c:pt idx="7">
                  <c:v>1.9030899869919435</c:v>
                </c:pt>
                <c:pt idx="8">
                  <c:v>2</c:v>
                </c:pt>
                <c:pt idx="9">
                  <c:v>2.3010299956639813</c:v>
                </c:pt>
                <c:pt idx="10">
                  <c:v>2.6989700043360187</c:v>
                </c:pt>
                <c:pt idx="11">
                  <c:v>2.9542425094393248</c:v>
                </c:pt>
              </c:numCache>
            </c:numRef>
          </c:xVal>
          <c:yVal>
            <c:numRef>
              <c:f>Sheet1!$B$8:$M$8</c:f>
              <c:numCache>
                <c:formatCode>General</c:formatCode>
                <c:ptCount val="12"/>
                <c:pt idx="0">
                  <c:v>99.79</c:v>
                </c:pt>
                <c:pt idx="1">
                  <c:v>97.08</c:v>
                </c:pt>
                <c:pt idx="2">
                  <c:v>88.96</c:v>
                </c:pt>
                <c:pt idx="3">
                  <c:v>70.8</c:v>
                </c:pt>
                <c:pt idx="4">
                  <c:v>48.27</c:v>
                </c:pt>
                <c:pt idx="5">
                  <c:v>28.74</c:v>
                </c:pt>
                <c:pt idx="6">
                  <c:v>7.37</c:v>
                </c:pt>
                <c:pt idx="7">
                  <c:v>8.48</c:v>
                </c:pt>
                <c:pt idx="8">
                  <c:v>5.55</c:v>
                </c:pt>
                <c:pt idx="9">
                  <c:v>2.4</c:v>
                </c:pt>
                <c:pt idx="10">
                  <c:v>2.02</c:v>
                </c:pt>
                <c:pt idx="11">
                  <c:v>1.1399999999999999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31-4684-9FAE-F9814E88979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33575312"/>
        <c:axId val="1035376560"/>
      </c:scatterChart>
      <c:valAx>
        <c:axId val="1033575312"/>
        <c:scaling>
          <c:orientation val="minMax"/>
          <c:max val="3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对数上下文长度</a:t>
                </a:r>
                <a:r>
                  <a:rPr lang="en-US" altLang="zh-CN"/>
                  <a:t>/lg1000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5376560"/>
        <c:crosses val="autoZero"/>
        <c:crossBetween val="midCat"/>
      </c:valAx>
      <c:valAx>
        <c:axId val="103537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平均准确率得分</a:t>
                </a:r>
                <a:endParaRPr lang="en-US" alt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3575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Sheet1!$A$11</c:f>
              <c:strCache>
                <c:ptCount val="1"/>
                <c:pt idx="0">
                  <c:v>json失败几率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Sheet1!$B$6:$M$6</c:f>
              <c:numCache>
                <c:formatCode>General</c:formatCode>
                <c:ptCount val="12"/>
                <c:pt idx="0">
                  <c:v>1</c:v>
                </c:pt>
                <c:pt idx="1">
                  <c:v>1.3010299956639813</c:v>
                </c:pt>
                <c:pt idx="2">
                  <c:v>1.4771212547196624</c:v>
                </c:pt>
                <c:pt idx="3">
                  <c:v>1.5440680443502757</c:v>
                </c:pt>
                <c:pt idx="4">
                  <c:v>1.6020599913279623</c:v>
                </c:pt>
                <c:pt idx="5">
                  <c:v>1.6532125137753437</c:v>
                </c:pt>
                <c:pt idx="6">
                  <c:v>1.7781512503836436</c:v>
                </c:pt>
                <c:pt idx="7">
                  <c:v>1.9030899869919435</c:v>
                </c:pt>
                <c:pt idx="8">
                  <c:v>2</c:v>
                </c:pt>
                <c:pt idx="9">
                  <c:v>2.3010299956639813</c:v>
                </c:pt>
                <c:pt idx="10">
                  <c:v>2.6989700043360187</c:v>
                </c:pt>
                <c:pt idx="11">
                  <c:v>2.9542425094393248</c:v>
                </c:pt>
              </c:numCache>
            </c:numRef>
          </c:xVal>
          <c:yVal>
            <c:numRef>
              <c:f>Sheet1!$B$11:$M$11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8.3333333333333329E-2</c:v>
                </c:pt>
                <c:pt idx="4">
                  <c:v>0</c:v>
                </c:pt>
                <c:pt idx="5">
                  <c:v>0.37931034482758619</c:v>
                </c:pt>
                <c:pt idx="6">
                  <c:v>0</c:v>
                </c:pt>
                <c:pt idx="7">
                  <c:v>0.23684210526315788</c:v>
                </c:pt>
                <c:pt idx="8">
                  <c:v>0.11538461538461539</c:v>
                </c:pt>
                <c:pt idx="9">
                  <c:v>0.33333333333333331</c:v>
                </c:pt>
                <c:pt idx="10">
                  <c:v>0.31578947368421051</c:v>
                </c:pt>
                <c:pt idx="11">
                  <c:v>0.12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32-42C4-B7C9-0B89DEA83BA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62212704"/>
        <c:axId val="1062214144"/>
      </c:scatterChart>
      <c:valAx>
        <c:axId val="106221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对数上下文长度</a:t>
                </a: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/lg1000</a:t>
                </a:r>
                <a:endParaRPr lang="zh-CN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214144"/>
        <c:crosses val="autoZero"/>
        <c:crossBetween val="midCat"/>
      </c:valAx>
      <c:valAx>
        <c:axId val="10622141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json</a:t>
                </a:r>
                <a:r>
                  <a:rPr lang="zh-CN" alt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输出失败概率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2212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Sheet1!$A$8</c:f>
              <c:strCache>
                <c:ptCount val="1"/>
                <c:pt idx="0">
                  <c:v>准确率分数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6.1388888888889142E-3"/>
                  <c:y val="-6.1457324518927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04-4004-A903-07B9DBE6EA3F}"/>
                </c:ext>
              </c:extLst>
            </c:dLbl>
            <c:dLbl>
              <c:idx val="2"/>
              <c:layout>
                <c:manualLayout>
                  <c:x val="1.1775560324121163E-2"/>
                  <c:y val="1.3508727739538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268-47D9-AE45-3756A4EDE7E7}"/>
                </c:ext>
              </c:extLst>
            </c:dLbl>
            <c:dLbl>
              <c:idx val="3"/>
              <c:layout>
                <c:manualLayout>
                  <c:x val="1.5287157958528631E-2"/>
                  <c:y val="8.023845637052270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68-47D9-AE45-3756A4EDE7E7}"/>
                </c:ext>
              </c:extLst>
            </c:dLbl>
            <c:dLbl>
              <c:idx val="7"/>
              <c:layout>
                <c:manualLayout>
                  <c:x val="9.7180658060592156E-3"/>
                  <c:y val="-9.84298912034427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268-47D9-AE45-3756A4EDE7E7}"/>
                </c:ext>
              </c:extLst>
            </c:dLbl>
            <c:dLbl>
              <c:idx val="8"/>
              <c:layout>
                <c:manualLayout>
                  <c:x val="-2.6481033184992304E-2"/>
                  <c:y val="-3.98803359411704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268-47D9-AE45-3756A4EDE7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Sheet1!$B$7:$M$7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60</c:v>
                </c:pt>
                <c:pt idx="7">
                  <c:v>80</c:v>
                </c:pt>
                <c:pt idx="8">
                  <c:v>100</c:v>
                </c:pt>
                <c:pt idx="9">
                  <c:v>200</c:v>
                </c:pt>
                <c:pt idx="10">
                  <c:v>500</c:v>
                </c:pt>
                <c:pt idx="11">
                  <c:v>900</c:v>
                </c:pt>
              </c:numCache>
            </c:numRef>
          </c:xVal>
          <c:yVal>
            <c:numRef>
              <c:f>Sheet1!$B$8:$M$8</c:f>
              <c:numCache>
                <c:formatCode>General</c:formatCode>
                <c:ptCount val="12"/>
                <c:pt idx="0">
                  <c:v>99.79</c:v>
                </c:pt>
                <c:pt idx="1">
                  <c:v>97.08</c:v>
                </c:pt>
                <c:pt idx="2">
                  <c:v>88.96</c:v>
                </c:pt>
                <c:pt idx="3">
                  <c:v>70.8</c:v>
                </c:pt>
                <c:pt idx="4">
                  <c:v>48.27</c:v>
                </c:pt>
                <c:pt idx="5">
                  <c:v>28.74</c:v>
                </c:pt>
                <c:pt idx="6">
                  <c:v>7.37</c:v>
                </c:pt>
                <c:pt idx="7">
                  <c:v>8.48</c:v>
                </c:pt>
                <c:pt idx="8">
                  <c:v>5.55</c:v>
                </c:pt>
                <c:pt idx="9">
                  <c:v>2.4</c:v>
                </c:pt>
                <c:pt idx="10">
                  <c:v>2.02</c:v>
                </c:pt>
                <c:pt idx="11">
                  <c:v>1.1399999999999999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01-404F-B2AA-4AA71286093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633438080"/>
        <c:axId val="633438560"/>
      </c:scatterChart>
      <c:valAx>
        <c:axId val="633438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上下文长度</a:t>
                </a:r>
                <a:r>
                  <a:rPr lang="en-US" altLang="zh-CN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/1000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3438560"/>
        <c:crosses val="autoZero"/>
        <c:crossBetween val="midCat"/>
      </c:valAx>
      <c:valAx>
        <c:axId val="63343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平均准确率得分</a:t>
                </a:r>
                <a:endParaRPr lang="en-US" altLang="zh-CN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3438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15</xdr:row>
      <xdr:rowOff>41274</xdr:rowOff>
    </xdr:from>
    <xdr:to>
      <xdr:col>11</xdr:col>
      <xdr:colOff>0</xdr:colOff>
      <xdr:row>37</xdr:row>
      <xdr:rowOff>19049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EF86A99-D263-5B96-2888-59685E841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63500</xdr:colOff>
      <xdr:row>16</xdr:row>
      <xdr:rowOff>158750</xdr:rowOff>
    </xdr:from>
    <xdr:to>
      <xdr:col>19</xdr:col>
      <xdr:colOff>184150</xdr:colOff>
      <xdr:row>37</xdr:row>
      <xdr:rowOff>133349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5D04987-EA88-DDAA-D133-0B2FB5BDF5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425450</xdr:colOff>
      <xdr:row>3</xdr:row>
      <xdr:rowOff>114300</xdr:rowOff>
    </xdr:from>
    <xdr:to>
      <xdr:col>20</xdr:col>
      <xdr:colOff>374650</xdr:colOff>
      <xdr:row>17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C991328-BF01-6A21-A8F0-74D0C2C4B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AC963-1B49-4BC1-9B5F-974CC57C7A39}">
  <dimension ref="A6:M11"/>
  <sheetViews>
    <sheetView tabSelected="1" topLeftCell="A4" zoomScaleNormal="100" workbookViewId="0">
      <selection activeCell="Q2" sqref="Q2"/>
    </sheetView>
  </sheetViews>
  <sheetFormatPr defaultRowHeight="14" x14ac:dyDescent="0.3"/>
  <cols>
    <col min="1" max="2" width="15.08203125" customWidth="1"/>
  </cols>
  <sheetData>
    <row r="6" spans="1:13" x14ac:dyDescent="0.3">
      <c r="A6" t="s">
        <v>0</v>
      </c>
      <c r="B6">
        <f>LOG10(B7)</f>
        <v>1</v>
      </c>
      <c r="C6">
        <f>LOG10(C7)</f>
        <v>1.3010299956639813</v>
      </c>
      <c r="D6">
        <f>LOG10(D7)</f>
        <v>1.4771212547196624</v>
      </c>
      <c r="E6">
        <f t="shared" ref="E6:M6" si="0">LOG10(E7)</f>
        <v>1.5440680443502757</v>
      </c>
      <c r="F6">
        <f t="shared" si="0"/>
        <v>1.6020599913279623</v>
      </c>
      <c r="G6">
        <f t="shared" si="0"/>
        <v>1.6532125137753437</v>
      </c>
      <c r="H6">
        <f t="shared" si="0"/>
        <v>1.7781512503836436</v>
      </c>
      <c r="I6">
        <f t="shared" si="0"/>
        <v>1.9030899869919435</v>
      </c>
      <c r="J6">
        <f t="shared" si="0"/>
        <v>2</v>
      </c>
      <c r="K6">
        <f t="shared" si="0"/>
        <v>2.3010299956639813</v>
      </c>
      <c r="L6">
        <f t="shared" si="0"/>
        <v>2.6989700043360187</v>
      </c>
      <c r="M6">
        <f t="shared" si="0"/>
        <v>2.9542425094393248</v>
      </c>
    </row>
    <row r="7" spans="1:13" x14ac:dyDescent="0.3">
      <c r="A7" t="s">
        <v>1</v>
      </c>
      <c r="B7">
        <v>10</v>
      </c>
      <c r="C7">
        <v>20</v>
      </c>
      <c r="D7">
        <v>30</v>
      </c>
      <c r="E7">
        <v>35</v>
      </c>
      <c r="F7">
        <v>40</v>
      </c>
      <c r="G7">
        <v>45</v>
      </c>
      <c r="H7">
        <v>60</v>
      </c>
      <c r="I7">
        <v>80</v>
      </c>
      <c r="J7">
        <v>100</v>
      </c>
      <c r="K7">
        <v>200</v>
      </c>
      <c r="L7">
        <v>500</v>
      </c>
      <c r="M7">
        <v>900</v>
      </c>
    </row>
    <row r="8" spans="1:13" x14ac:dyDescent="0.3">
      <c r="A8" t="s">
        <v>2</v>
      </c>
      <c r="B8">
        <v>99.79</v>
      </c>
      <c r="C8">
        <v>97.08</v>
      </c>
      <c r="D8">
        <v>88.96</v>
      </c>
      <c r="E8">
        <v>70.8</v>
      </c>
      <c r="F8">
        <v>48.27</v>
      </c>
      <c r="G8">
        <v>28.74</v>
      </c>
      <c r="H8">
        <v>7.37</v>
      </c>
      <c r="I8">
        <v>8.48</v>
      </c>
      <c r="J8">
        <v>5.55</v>
      </c>
      <c r="K8">
        <v>2.4</v>
      </c>
      <c r="L8">
        <v>2.02</v>
      </c>
      <c r="M8">
        <v>1.1399999999999999</v>
      </c>
    </row>
    <row r="9" spans="1:13" x14ac:dyDescent="0.3">
      <c r="A9" t="s">
        <v>3</v>
      </c>
      <c r="B9">
        <v>23</v>
      </c>
      <c r="C9">
        <v>35</v>
      </c>
      <c r="D9">
        <v>20</v>
      </c>
      <c r="E9">
        <v>24</v>
      </c>
      <c r="F9">
        <v>13</v>
      </c>
      <c r="G9">
        <v>29</v>
      </c>
      <c r="H9">
        <v>37</v>
      </c>
      <c r="I9">
        <v>38</v>
      </c>
      <c r="J9">
        <v>26</v>
      </c>
      <c r="K9">
        <v>36</v>
      </c>
      <c r="L9">
        <v>38</v>
      </c>
      <c r="M9">
        <v>25</v>
      </c>
    </row>
    <row r="10" spans="1:13" x14ac:dyDescent="0.3">
      <c r="A10" t="s">
        <v>4</v>
      </c>
      <c r="B10">
        <v>0</v>
      </c>
      <c r="C10">
        <v>0</v>
      </c>
      <c r="D10">
        <v>0</v>
      </c>
      <c r="E10">
        <v>2</v>
      </c>
      <c r="F10">
        <v>0</v>
      </c>
      <c r="G10">
        <v>11</v>
      </c>
      <c r="H10">
        <v>0</v>
      </c>
      <c r="I10">
        <v>9</v>
      </c>
      <c r="J10">
        <v>3</v>
      </c>
      <c r="K10">
        <v>12</v>
      </c>
      <c r="L10">
        <v>12</v>
      </c>
      <c r="M10">
        <v>3</v>
      </c>
    </row>
    <row r="11" spans="1:13" x14ac:dyDescent="0.3">
      <c r="A11" t="s">
        <v>5</v>
      </c>
      <c r="B11">
        <f>B10/B9</f>
        <v>0</v>
      </c>
      <c r="C11">
        <f>C10/C9</f>
        <v>0</v>
      </c>
      <c r="D11">
        <f t="shared" ref="D11:M11" si="1">D10/D9</f>
        <v>0</v>
      </c>
      <c r="E11">
        <f t="shared" si="1"/>
        <v>8.3333333333333329E-2</v>
      </c>
      <c r="F11">
        <f t="shared" si="1"/>
        <v>0</v>
      </c>
      <c r="G11">
        <f t="shared" si="1"/>
        <v>0.37931034482758619</v>
      </c>
      <c r="H11">
        <f t="shared" si="1"/>
        <v>0</v>
      </c>
      <c r="I11">
        <f t="shared" si="1"/>
        <v>0.23684210526315788</v>
      </c>
      <c r="J11">
        <f t="shared" si="1"/>
        <v>0.11538461538461539</v>
      </c>
      <c r="K11">
        <f t="shared" si="1"/>
        <v>0.33333333333333331</v>
      </c>
      <c r="L11">
        <f t="shared" si="1"/>
        <v>0.31578947368421051</v>
      </c>
      <c r="M11">
        <f t="shared" si="1"/>
        <v>0.12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月 恋</dc:creator>
  <cp:lastModifiedBy>月 恋</cp:lastModifiedBy>
  <dcterms:created xsi:type="dcterms:W3CDTF">2025-10-23T12:55:34Z</dcterms:created>
  <dcterms:modified xsi:type="dcterms:W3CDTF">2025-10-24T13:31:36Z</dcterms:modified>
</cp:coreProperties>
</file>