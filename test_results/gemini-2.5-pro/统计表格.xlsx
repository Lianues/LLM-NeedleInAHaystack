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111\LLM-NeedleInAHaystack\test_results\gemini-2.5-pro\"/>
    </mc:Choice>
  </mc:AlternateContent>
  <xr:revisionPtr revIDLastSave="0" documentId="13_ncr:1_{E830D5BE-ACEE-4BE8-BE28-0A26BC96EB69}" xr6:coauthVersionLast="47" xr6:coauthVersionMax="47" xr10:uidLastSave="{00000000-0000-0000-0000-000000000000}"/>
  <bookViews>
    <workbookView xWindow="-110" yWindow="-110" windowWidth="25820" windowHeight="14620" xr2:uid="{58898F7C-67C2-4EC0-A511-F699C1A604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B14" i="1"/>
</calcChain>
</file>

<file path=xl/sharedStrings.xml><?xml version="1.0" encoding="utf-8"?>
<sst xmlns="http://schemas.openxmlformats.org/spreadsheetml/2006/main" count="11" uniqueCount="11">
  <si>
    <t>上下文对数</t>
  </si>
  <si>
    <t>上下文k</t>
  </si>
  <si>
    <t>准确率分数</t>
  </si>
  <si>
    <t>测试场次</t>
  </si>
  <si>
    <t>不遵守格式场次</t>
  </si>
  <si>
    <t>json失败几率</t>
  </si>
  <si>
    <t>上下文</t>
    <phoneticPr fontId="1" type="noConversion"/>
  </si>
  <si>
    <t>准确率</t>
    <phoneticPr fontId="1" type="noConversion"/>
  </si>
  <si>
    <t>对数上下文</t>
    <phoneticPr fontId="1" type="noConversion"/>
  </si>
  <si>
    <t>均匀：</t>
    <phoneticPr fontId="1" type="noConversion"/>
  </si>
  <si>
    <t>后半：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</si>
</sst>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均匀插针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4.6802827965435979E-2"/>
                  <c:y val="-4.07919010123734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5B-407D-B08E-C03DFEA2C3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Sheet1!$B$6:$N$6</c:f>
              <c:numCache>
                <c:formatCode>General</c:formatCode>
                <c:ptCount val="13"/>
                <c:pt idx="0">
                  <c:v>1</c:v>
                </c:pt>
                <c:pt idx="1">
                  <c:v>1.301029996</c:v>
                </c:pt>
                <c:pt idx="2">
                  <c:v>1.4771212549999999</c:v>
                </c:pt>
                <c:pt idx="3">
                  <c:v>1.698970004</c:v>
                </c:pt>
                <c:pt idx="4">
                  <c:v>1.8450980400000001</c:v>
                </c:pt>
                <c:pt idx="5">
                  <c:v>1.903089987</c:v>
                </c:pt>
                <c:pt idx="6">
                  <c:v>1.954242509</c:v>
                </c:pt>
                <c:pt idx="7">
                  <c:v>2</c:v>
                </c:pt>
                <c:pt idx="8">
                  <c:v>2.1760912590000001</c:v>
                </c:pt>
                <c:pt idx="9">
                  <c:v>2.301029996</c:v>
                </c:pt>
                <c:pt idx="10">
                  <c:v>2.4771212550000001</c:v>
                </c:pt>
                <c:pt idx="11">
                  <c:v>2.698970004</c:v>
                </c:pt>
                <c:pt idx="12">
                  <c:v>2.9542425090000002</c:v>
                </c:pt>
              </c:numCache>
            </c:numRef>
          </c:xVal>
          <c:yVal>
            <c:numRef>
              <c:f>Sheet1!$B$8:$N$8</c:f>
              <c:numCache>
                <c:formatCode>General</c:formatCode>
                <c:ptCount val="13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97.78</c:v>
                </c:pt>
                <c:pt idx="4">
                  <c:v>95.11</c:v>
                </c:pt>
                <c:pt idx="5">
                  <c:v>83.83</c:v>
                </c:pt>
                <c:pt idx="6">
                  <c:v>57.03</c:v>
                </c:pt>
                <c:pt idx="7">
                  <c:v>37.479999999999997</c:v>
                </c:pt>
                <c:pt idx="8">
                  <c:v>18.8</c:v>
                </c:pt>
                <c:pt idx="9">
                  <c:v>12.02</c:v>
                </c:pt>
                <c:pt idx="10">
                  <c:v>6.06</c:v>
                </c:pt>
                <c:pt idx="11">
                  <c:v>6.79</c:v>
                </c:pt>
                <c:pt idx="12">
                  <c:v>7.48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31-4684-9FAE-F9814E889798}"/>
            </c:ext>
          </c:extLst>
        </c:ser>
        <c:ser>
          <c:idx val="1"/>
          <c:order val="1"/>
          <c:tx>
            <c:v>后半插针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Sheet1!$B$14:$P$14</c:f>
              <c:numCache>
                <c:formatCode>General</c:formatCode>
                <c:ptCount val="15"/>
                <c:pt idx="0">
                  <c:v>1.6020599913279623</c:v>
                </c:pt>
                <c:pt idx="1">
                  <c:v>1.6989700043360187</c:v>
                </c:pt>
                <c:pt idx="2">
                  <c:v>1.7781512503836436</c:v>
                </c:pt>
                <c:pt idx="3">
                  <c:v>1.8450980400142569</c:v>
                </c:pt>
                <c:pt idx="4">
                  <c:v>1.9030899869919435</c:v>
                </c:pt>
                <c:pt idx="5">
                  <c:v>1.954242509439325</c:v>
                </c:pt>
                <c:pt idx="6">
                  <c:v>2</c:v>
                </c:pt>
                <c:pt idx="7">
                  <c:v>2.1461280356782382</c:v>
                </c:pt>
                <c:pt idx="8">
                  <c:v>2.2041199826559246</c:v>
                </c:pt>
                <c:pt idx="9">
                  <c:v>2.255272505103306</c:v>
                </c:pt>
                <c:pt idx="10">
                  <c:v>2.3010299956639813</c:v>
                </c:pt>
                <c:pt idx="11">
                  <c:v>2.4771212547196626</c:v>
                </c:pt>
                <c:pt idx="12">
                  <c:v>2.6020599913279625</c:v>
                </c:pt>
                <c:pt idx="13">
                  <c:v>2.6989700043360187</c:v>
                </c:pt>
                <c:pt idx="14">
                  <c:v>2.7781512503836434</c:v>
                </c:pt>
              </c:numCache>
            </c:numRef>
          </c:xVal>
          <c:yVal>
            <c:numRef>
              <c:f>Sheet1!$B$16:$P$16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98.8</c:v>
                </c:pt>
                <c:pt idx="4">
                  <c:v>96.41</c:v>
                </c:pt>
                <c:pt idx="5">
                  <c:v>96.2</c:v>
                </c:pt>
                <c:pt idx="6">
                  <c:v>77.36</c:v>
                </c:pt>
                <c:pt idx="7">
                  <c:v>32.659999999999997</c:v>
                </c:pt>
                <c:pt idx="8">
                  <c:v>25.71</c:v>
                </c:pt>
                <c:pt idx="9">
                  <c:v>19.91</c:v>
                </c:pt>
                <c:pt idx="10">
                  <c:v>16.3</c:v>
                </c:pt>
                <c:pt idx="11">
                  <c:v>12.24</c:v>
                </c:pt>
                <c:pt idx="12">
                  <c:v>8.0299999999999994</c:v>
                </c:pt>
                <c:pt idx="13">
                  <c:v>6.98</c:v>
                </c:pt>
                <c:pt idx="14">
                  <c:v>7.59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5A-4864-8363-F5E5382BF1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33575312"/>
        <c:axId val="1035376560"/>
      </c:scatterChart>
      <c:valAx>
        <c:axId val="1033575312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对数上下文长度</a:t>
                </a:r>
                <a:r>
                  <a:rPr lang="en-US" altLang="zh-CN"/>
                  <a:t>/lg1000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5376560"/>
        <c:crosses val="autoZero"/>
        <c:crossBetween val="midCat"/>
      </c:valAx>
      <c:valAx>
        <c:axId val="103537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平均准确率得分</a:t>
                </a:r>
                <a:endParaRPr lang="en-US" alt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57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Sheet1!$A$11</c:f>
              <c:strCache>
                <c:ptCount val="1"/>
                <c:pt idx="0">
                  <c:v>json失败几率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Sheet1!$B$6:$N$6</c:f>
              <c:numCache>
                <c:formatCode>General</c:formatCode>
                <c:ptCount val="13"/>
                <c:pt idx="0">
                  <c:v>1</c:v>
                </c:pt>
                <c:pt idx="1">
                  <c:v>1.301029996</c:v>
                </c:pt>
                <c:pt idx="2">
                  <c:v>1.4771212549999999</c:v>
                </c:pt>
                <c:pt idx="3">
                  <c:v>1.698970004</c:v>
                </c:pt>
                <c:pt idx="4">
                  <c:v>1.8450980400000001</c:v>
                </c:pt>
                <c:pt idx="5">
                  <c:v>1.903089987</c:v>
                </c:pt>
                <c:pt idx="6">
                  <c:v>1.954242509</c:v>
                </c:pt>
                <c:pt idx="7">
                  <c:v>2</c:v>
                </c:pt>
                <c:pt idx="8">
                  <c:v>2.1760912590000001</c:v>
                </c:pt>
                <c:pt idx="9">
                  <c:v>2.301029996</c:v>
                </c:pt>
                <c:pt idx="10">
                  <c:v>2.4771212550000001</c:v>
                </c:pt>
                <c:pt idx="11">
                  <c:v>2.698970004</c:v>
                </c:pt>
                <c:pt idx="12">
                  <c:v>2.9542425090000002</c:v>
                </c:pt>
              </c:numCache>
            </c:numRef>
          </c:xVal>
          <c:yVal>
            <c:numRef>
              <c:f>Sheet1!$B$11:$N$11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4.3478260999999997E-2</c:v>
                </c:pt>
                <c:pt idx="8">
                  <c:v>0</c:v>
                </c:pt>
                <c:pt idx="9">
                  <c:v>0.117647059</c:v>
                </c:pt>
                <c:pt idx="10">
                  <c:v>0.43478260899999999</c:v>
                </c:pt>
                <c:pt idx="11">
                  <c:v>0.43333333299999999</c:v>
                </c:pt>
                <c:pt idx="12">
                  <c:v>0.321428571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32-42C4-B7C9-0B89DEA83BA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62212704"/>
        <c:axId val="1062214144"/>
      </c:scatterChart>
      <c:valAx>
        <c:axId val="106221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对数上下文长度</a:t>
                </a:r>
                <a:r>
                  <a:rPr lang="en-US" altLang="zh-CN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/lg1000</a:t>
                </a:r>
                <a:endParaRPr lang="zh-CN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4144"/>
        <c:crosses val="autoZero"/>
        <c:crossBetween val="midCat"/>
      </c:valAx>
      <c:valAx>
        <c:axId val="1062214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json</a:t>
                </a:r>
                <a:r>
                  <a:rPr lang="zh-CN" alt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输出失败概率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均匀插针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3.5527777777777776E-2"/>
                  <c:y val="-6.6804918101814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404-4004-A903-07B9DBE6EA3F}"/>
                </c:ext>
              </c:extLst>
            </c:dLbl>
            <c:dLbl>
              <c:idx val="2"/>
              <c:layout>
                <c:manualLayout>
                  <c:x val="-2.1638888888888888E-2"/>
                  <c:y val="3.47993599730514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F4A-42C0-B74F-240CD243119E}"/>
                </c:ext>
              </c:extLst>
            </c:dLbl>
            <c:dLbl>
              <c:idx val="3"/>
              <c:layout>
                <c:manualLayout>
                  <c:x val="-1.6598939929328638E-2"/>
                  <c:y val="5.16386081991851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C2-41E6-B5DF-7206570E7AC7}"/>
                </c:ext>
              </c:extLst>
            </c:dLbl>
            <c:dLbl>
              <c:idx val="4"/>
              <c:layout>
                <c:manualLayout>
                  <c:x val="-2.8966431095406361E-2"/>
                  <c:y val="6.6044370504107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7C2-41E6-B5DF-7206570E7AC7}"/>
                </c:ext>
              </c:extLst>
            </c:dLbl>
            <c:dLbl>
              <c:idx val="5"/>
              <c:layout>
                <c:manualLayout>
                  <c:x val="-3.9567137809187261E-2"/>
                  <c:y val="6.36434101199534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7C2-41E6-B5DF-7206570E7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Sheet1!$B$7:$N$7</c:f>
              <c:numCache>
                <c:formatCode>General</c:formatCode>
                <c:ptCount val="13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80</c:v>
                </c:pt>
                <c:pt idx="6">
                  <c:v>90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500</c:v>
                </c:pt>
                <c:pt idx="12">
                  <c:v>900</c:v>
                </c:pt>
              </c:numCache>
            </c:numRef>
          </c:xVal>
          <c:yVal>
            <c:numRef>
              <c:f>Sheet1!$B$8:$N$8</c:f>
              <c:numCache>
                <c:formatCode>General</c:formatCode>
                <c:ptCount val="13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97.78</c:v>
                </c:pt>
                <c:pt idx="4">
                  <c:v>95.11</c:v>
                </c:pt>
                <c:pt idx="5">
                  <c:v>83.83</c:v>
                </c:pt>
                <c:pt idx="6">
                  <c:v>57.03</c:v>
                </c:pt>
                <c:pt idx="7">
                  <c:v>37.479999999999997</c:v>
                </c:pt>
                <c:pt idx="8">
                  <c:v>18.8</c:v>
                </c:pt>
                <c:pt idx="9">
                  <c:v>12.02</c:v>
                </c:pt>
                <c:pt idx="10">
                  <c:v>6.06</c:v>
                </c:pt>
                <c:pt idx="11">
                  <c:v>6.79</c:v>
                </c:pt>
                <c:pt idx="12">
                  <c:v>7.48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01-404F-B2AA-4AA712860934}"/>
            </c:ext>
          </c:extLst>
        </c:ser>
        <c:ser>
          <c:idx val="1"/>
          <c:order val="1"/>
          <c:tx>
            <c:v>后半插针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4584805653710231E-2"/>
                  <c:y val="-0.1092257375391101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7C2-41E6-B5DF-7206570E7AC7}"/>
                </c:ext>
              </c:extLst>
            </c:dLbl>
            <c:dLbl>
              <c:idx val="4"/>
              <c:layout>
                <c:manualLayout>
                  <c:x val="-5.9982332155477033E-3"/>
                  <c:y val="-0.1020228563866491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7C2-41E6-B5DF-7206570E7AC7}"/>
                </c:ext>
              </c:extLst>
            </c:dLbl>
            <c:dLbl>
              <c:idx val="5"/>
              <c:layout>
                <c:manualLayout>
                  <c:x val="2.6051236749116607E-2"/>
                  <c:y val="-3.9597886398653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7C2-41E6-B5DF-7206570E7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Sheet1!$B$15:$P$15</c:f>
              <c:numCache>
                <c:formatCode>General</c:formatCode>
                <c:ptCount val="15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300</c:v>
                </c:pt>
                <c:pt idx="12">
                  <c:v>400</c:v>
                </c:pt>
                <c:pt idx="13">
                  <c:v>500</c:v>
                </c:pt>
                <c:pt idx="14">
                  <c:v>600</c:v>
                </c:pt>
              </c:numCache>
            </c:numRef>
          </c:xVal>
          <c:yVal>
            <c:numRef>
              <c:f>Sheet1!$B$16:$P$16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98.8</c:v>
                </c:pt>
                <c:pt idx="4">
                  <c:v>96.41</c:v>
                </c:pt>
                <c:pt idx="5">
                  <c:v>96.2</c:v>
                </c:pt>
                <c:pt idx="6">
                  <c:v>77.36</c:v>
                </c:pt>
                <c:pt idx="7">
                  <c:v>32.659999999999997</c:v>
                </c:pt>
                <c:pt idx="8">
                  <c:v>25.71</c:v>
                </c:pt>
                <c:pt idx="9">
                  <c:v>19.91</c:v>
                </c:pt>
                <c:pt idx="10">
                  <c:v>16.3</c:v>
                </c:pt>
                <c:pt idx="11">
                  <c:v>12.24</c:v>
                </c:pt>
                <c:pt idx="12">
                  <c:v>8.0299999999999994</c:v>
                </c:pt>
                <c:pt idx="13">
                  <c:v>6.98</c:v>
                </c:pt>
                <c:pt idx="14">
                  <c:v>7.59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C2-41E6-B5DF-7206570E7AC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33438080"/>
        <c:axId val="633438560"/>
      </c:scatterChart>
      <c:valAx>
        <c:axId val="633438080"/>
        <c:scaling>
          <c:orientation val="minMax"/>
          <c:max val="6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上下文长度</a:t>
                </a:r>
                <a:r>
                  <a:rPr lang="en-US" altLang="zh-CN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560"/>
        <c:crosses val="autoZero"/>
        <c:crossBetween val="midCat"/>
      </c:valAx>
      <c:valAx>
        <c:axId val="6334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平均准确率得分</a:t>
                </a:r>
                <a:endParaRPr lang="en-US" altLang="zh-CN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1.7304679892045299E-2"/>
              <c:y val="0.4231847699709805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336550</xdr:colOff>
      <xdr:row>27</xdr:row>
      <xdr:rowOff>22225</xdr:rowOff>
    </xdr:from>
    <xdr:to>
      <xdr:col>20</xdr:col>
      <xdr:colOff>25400</xdr:colOff>
      <xdr:row>55</xdr:row>
      <xdr:rowOff>146050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EF86A99-D263-5B96-2888-59685E841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63500</xdr:colOff>
      <xdr:row>17</xdr:row>
      <xdr:rowOff>158750</xdr:rowOff>
    </xdr:from>
    <xdr:to>
      <xdr:col>19</xdr:col>
      <xdr:colOff>184150</xdr:colOff>
      <xdr:row>38</xdr:row>
      <xdr:rowOff>133349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5D04987-EA88-DDAA-D133-0B2FB5BDF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1047750</xdr:colOff>
      <xdr:row>28</xdr:row>
      <xdr:rowOff>50800</xdr:rowOff>
    </xdr:from>
    <xdr:to>
      <xdr:col>21</xdr:col>
      <xdr:colOff>577850</xdr:colOff>
      <xdr:row>58</xdr:row>
      <xdr:rowOff>6350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C991328-BF01-6A21-A8F0-74D0C2C4B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AC963-1B49-4BC1-9B5F-974CC57C7A39}">
  <dimension ref="A5:P16"/>
  <sheetViews>
    <sheetView tabSelected="1" topLeftCell="A16" zoomScaleNormal="100" workbookViewId="0">
      <selection activeCell="B21" sqref="B21"/>
    </sheetView>
  </sheetViews>
  <sheetFormatPr defaultRowHeight="14" x14ac:dyDescent="0.3"/>
  <cols>
    <col min="1" max="2" width="15.08203125" customWidth="1"/>
  </cols>
  <sheetData>
    <row r="5" spans="1:16" x14ac:dyDescent="0.3">
      <c r="A5" t="s">
        <v>9</v>
      </c>
    </row>
    <row r="6" spans="1:16" x14ac:dyDescent="0.3">
      <c r="A6" t="s">
        <v>0</v>
      </c>
      <c r="B6">
        <v>1</v>
      </c>
      <c r="C6">
        <v>1.301029996</v>
      </c>
      <c r="D6">
        <v>1.4771212549999999</v>
      </c>
      <c r="E6">
        <v>1.698970004</v>
      </c>
      <c r="F6">
        <v>1.8450980400000001</v>
      </c>
      <c r="G6">
        <v>1.903089987</v>
      </c>
      <c r="H6">
        <v>1.954242509</v>
      </c>
      <c r="I6">
        <v>2</v>
      </c>
      <c r="J6">
        <v>2.1760912590000001</v>
      </c>
      <c r="K6">
        <v>2.301029996</v>
      </c>
      <c r="L6">
        <v>2.4771212550000001</v>
      </c>
      <c r="M6">
        <v>2.698970004</v>
      </c>
      <c r="N6">
        <v>2.9542425090000002</v>
      </c>
    </row>
    <row r="7" spans="1:16" x14ac:dyDescent="0.3">
      <c r="A7" t="s">
        <v>1</v>
      </c>
      <c r="B7">
        <v>10</v>
      </c>
      <c r="C7">
        <v>20</v>
      </c>
      <c r="D7">
        <v>30</v>
      </c>
      <c r="E7">
        <v>50</v>
      </c>
      <c r="F7">
        <v>70</v>
      </c>
      <c r="G7">
        <v>80</v>
      </c>
      <c r="H7">
        <v>90</v>
      </c>
      <c r="I7">
        <v>100</v>
      </c>
      <c r="J7">
        <v>150</v>
      </c>
      <c r="K7">
        <v>200</v>
      </c>
      <c r="L7">
        <v>300</v>
      </c>
      <c r="M7">
        <v>500</v>
      </c>
      <c r="N7">
        <v>900</v>
      </c>
    </row>
    <row r="8" spans="1:16" x14ac:dyDescent="0.3">
      <c r="A8" t="s">
        <v>2</v>
      </c>
      <c r="B8">
        <v>100</v>
      </c>
      <c r="C8">
        <v>100</v>
      </c>
      <c r="D8">
        <v>100</v>
      </c>
      <c r="E8">
        <v>97.78</v>
      </c>
      <c r="F8">
        <v>95.11</v>
      </c>
      <c r="G8">
        <v>83.83</v>
      </c>
      <c r="H8">
        <v>57.03</v>
      </c>
      <c r="I8">
        <v>37.479999999999997</v>
      </c>
      <c r="J8">
        <v>18.8</v>
      </c>
      <c r="K8">
        <v>12.02</v>
      </c>
      <c r="L8">
        <v>6.06</v>
      </c>
      <c r="M8">
        <v>6.79</v>
      </c>
      <c r="N8">
        <v>7.48</v>
      </c>
    </row>
    <row r="9" spans="1:16" x14ac:dyDescent="0.3">
      <c r="A9" t="s">
        <v>3</v>
      </c>
      <c r="B9">
        <v>23</v>
      </c>
      <c r="C9">
        <v>20</v>
      </c>
      <c r="D9">
        <v>20</v>
      </c>
      <c r="E9">
        <v>27</v>
      </c>
      <c r="F9">
        <v>22</v>
      </c>
      <c r="G9">
        <v>15</v>
      </c>
      <c r="H9">
        <v>23</v>
      </c>
      <c r="I9">
        <v>23</v>
      </c>
      <c r="J9">
        <v>27</v>
      </c>
      <c r="K9">
        <v>34</v>
      </c>
      <c r="L9">
        <v>46</v>
      </c>
      <c r="M9">
        <v>30</v>
      </c>
      <c r="N9">
        <v>28</v>
      </c>
    </row>
    <row r="10" spans="1:16" x14ac:dyDescent="0.3">
      <c r="A10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4</v>
      </c>
      <c r="L10">
        <v>20</v>
      </c>
      <c r="M10">
        <v>13</v>
      </c>
      <c r="N10">
        <v>9</v>
      </c>
    </row>
    <row r="11" spans="1:16" x14ac:dyDescent="0.3">
      <c r="A11" t="s">
        <v>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4.3478260999999997E-2</v>
      </c>
      <c r="J11">
        <v>0</v>
      </c>
      <c r="K11">
        <v>0.117647059</v>
      </c>
      <c r="L11">
        <v>0.43478260899999999</v>
      </c>
      <c r="M11">
        <v>0.43333333299999999</v>
      </c>
      <c r="N11">
        <v>0.321428571</v>
      </c>
    </row>
    <row r="13" spans="1:16" x14ac:dyDescent="0.3">
      <c r="A13" t="s">
        <v>10</v>
      </c>
    </row>
    <row r="14" spans="1:16" x14ac:dyDescent="0.3">
      <c r="A14" t="s">
        <v>8</v>
      </c>
      <c r="B14">
        <f>LOG10(B15)</f>
        <v>1.6020599913279623</v>
      </c>
      <c r="C14">
        <f t="shared" ref="C14:P14" si="0">LOG10(C15)</f>
        <v>1.6989700043360187</v>
      </c>
      <c r="D14">
        <f t="shared" si="0"/>
        <v>1.7781512503836436</v>
      </c>
      <c r="E14">
        <f t="shared" si="0"/>
        <v>1.8450980400142569</v>
      </c>
      <c r="F14">
        <f t="shared" si="0"/>
        <v>1.9030899869919435</v>
      </c>
      <c r="G14">
        <f t="shared" si="0"/>
        <v>1.954242509439325</v>
      </c>
      <c r="H14">
        <f t="shared" si="0"/>
        <v>2</v>
      </c>
      <c r="I14">
        <f t="shared" si="0"/>
        <v>2.1461280356782382</v>
      </c>
      <c r="J14">
        <f t="shared" si="0"/>
        <v>2.2041199826559246</v>
      </c>
      <c r="K14">
        <f t="shared" si="0"/>
        <v>2.255272505103306</v>
      </c>
      <c r="L14">
        <f t="shared" si="0"/>
        <v>2.3010299956639813</v>
      </c>
      <c r="M14">
        <f t="shared" si="0"/>
        <v>2.4771212547196626</v>
      </c>
      <c r="N14">
        <f t="shared" si="0"/>
        <v>2.6020599913279625</v>
      </c>
      <c r="O14">
        <f t="shared" si="0"/>
        <v>2.6989700043360187</v>
      </c>
      <c r="P14">
        <f t="shared" si="0"/>
        <v>2.7781512503836434</v>
      </c>
    </row>
    <row r="15" spans="1:16" x14ac:dyDescent="0.3">
      <c r="A15" t="s">
        <v>6</v>
      </c>
      <c r="B15">
        <v>40</v>
      </c>
      <c r="C15">
        <v>50</v>
      </c>
      <c r="D15">
        <v>60</v>
      </c>
      <c r="E15">
        <v>70</v>
      </c>
      <c r="F15">
        <v>80</v>
      </c>
      <c r="G15">
        <v>90</v>
      </c>
      <c r="H15">
        <v>100</v>
      </c>
      <c r="I15">
        <v>140</v>
      </c>
      <c r="J15">
        <v>160</v>
      </c>
      <c r="K15">
        <v>180</v>
      </c>
      <c r="L15">
        <v>200</v>
      </c>
      <c r="M15">
        <v>300</v>
      </c>
      <c r="N15">
        <v>400</v>
      </c>
      <c r="O15">
        <v>500</v>
      </c>
      <c r="P15">
        <v>600</v>
      </c>
    </row>
    <row r="16" spans="1:16" x14ac:dyDescent="0.3">
      <c r="A16" t="s">
        <v>7</v>
      </c>
      <c r="B16">
        <v>100</v>
      </c>
      <c r="C16">
        <v>100</v>
      </c>
      <c r="D16">
        <v>100</v>
      </c>
      <c r="E16">
        <v>98.8</v>
      </c>
      <c r="F16">
        <v>96.41</v>
      </c>
      <c r="G16">
        <v>96.2</v>
      </c>
      <c r="H16">
        <v>77.36</v>
      </c>
      <c r="I16">
        <v>32.659999999999997</v>
      </c>
      <c r="J16">
        <v>25.71</v>
      </c>
      <c r="K16">
        <v>19.91</v>
      </c>
      <c r="L16">
        <v>16.3</v>
      </c>
      <c r="M16">
        <v>12.24</v>
      </c>
      <c r="N16">
        <v>8.0299999999999994</v>
      </c>
      <c r="O16">
        <v>6.98</v>
      </c>
      <c r="P16">
        <v>7.59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月 恋</dc:creator>
  <cp:lastModifiedBy>月 恋</cp:lastModifiedBy>
  <dcterms:created xsi:type="dcterms:W3CDTF">2025-10-23T12:55:34Z</dcterms:created>
  <dcterms:modified xsi:type="dcterms:W3CDTF">2025-11-06T17:20:48Z</dcterms:modified>
</cp:coreProperties>
</file>