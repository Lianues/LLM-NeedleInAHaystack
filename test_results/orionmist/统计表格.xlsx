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下载\分析结果 (1)\orionmist\"/>
    </mc:Choice>
  </mc:AlternateContent>
  <xr:revisionPtr revIDLastSave="0" documentId="13_ncr:1_{60FA505E-7D0D-43B6-A4B6-617D700CD57C}" xr6:coauthVersionLast="47" xr6:coauthVersionMax="47" xr10:uidLastSave="{00000000-0000-0000-0000-000000000000}"/>
  <bookViews>
    <workbookView xWindow="1500" yWindow="1830" windowWidth="21200" windowHeight="13630" xr2:uid="{58898F7C-67C2-4EC0-A511-F699C1A60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I11" i="1"/>
  <c r="J11" i="1"/>
  <c r="K11" i="1"/>
  <c r="L11" i="1"/>
  <c r="M11" i="1"/>
  <c r="H6" i="1"/>
  <c r="I6" i="1"/>
  <c r="J6" i="1"/>
  <c r="K6" i="1"/>
  <c r="L6" i="1"/>
  <c r="M6" i="1"/>
  <c r="C11" i="1"/>
  <c r="D11" i="1"/>
  <c r="E11" i="1"/>
  <c r="F11" i="1"/>
  <c r="G11" i="1"/>
  <c r="B11" i="1"/>
  <c r="C6" i="1"/>
  <c r="D6" i="1"/>
  <c r="E6" i="1"/>
  <c r="F6" i="1"/>
  <c r="G6" i="1"/>
  <c r="B6" i="1"/>
</calcChain>
</file>

<file path=xl/sharedStrings.xml><?xml version="1.0" encoding="utf-8"?>
<sst xmlns="http://schemas.openxmlformats.org/spreadsheetml/2006/main" count="6" uniqueCount="6">
  <si>
    <t>上下文对数</t>
    <phoneticPr fontId="1" type="noConversion"/>
  </si>
  <si>
    <t>上下文k</t>
    <phoneticPr fontId="1" type="noConversion"/>
  </si>
  <si>
    <t>准确率分数</t>
    <phoneticPr fontId="1" type="noConversion"/>
  </si>
  <si>
    <t>测试场次</t>
    <phoneticPr fontId="1" type="noConversion"/>
  </si>
  <si>
    <t>不遵守格式场次</t>
    <phoneticPr fontId="1" type="noConversion"/>
  </si>
  <si>
    <t>json失败几率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</si>
</sst>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6802827965435979E-2"/>
                  <c:y val="-4.0791901012373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A6-4750-8CBA-390C89D74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Sheet1!$B$6:$M$6</c:f>
              <c:numCache>
                <c:formatCode>General</c:formatCode>
                <c:ptCount val="12"/>
                <c:pt idx="0">
                  <c:v>1</c:v>
                </c:pt>
                <c:pt idx="1">
                  <c:v>1.3010299956639813</c:v>
                </c:pt>
                <c:pt idx="2">
                  <c:v>1.3979400086720377</c:v>
                </c:pt>
                <c:pt idx="3">
                  <c:v>1.4771212547196624</c:v>
                </c:pt>
                <c:pt idx="4">
                  <c:v>1.5440680443502757</c:v>
                </c:pt>
                <c:pt idx="5">
                  <c:v>1.6020599913279623</c:v>
                </c:pt>
                <c:pt idx="6">
                  <c:v>1.6989700043360187</c:v>
                </c:pt>
                <c:pt idx="7">
                  <c:v>1.8450980400142569</c:v>
                </c:pt>
                <c:pt idx="8">
                  <c:v>2</c:v>
                </c:pt>
                <c:pt idx="9">
                  <c:v>2.3010299956639813</c:v>
                </c:pt>
                <c:pt idx="10">
                  <c:v>2.6989700043360187</c:v>
                </c:pt>
                <c:pt idx="11">
                  <c:v>2.9542425094393248</c:v>
                </c:pt>
              </c:numCache>
            </c:numRef>
          </c:xVal>
          <c:yVal>
            <c:numRef>
              <c:f>Sheet1!$B$8:$M$8</c:f>
              <c:numCache>
                <c:formatCode>General</c:formatCode>
                <c:ptCount val="12"/>
                <c:pt idx="0">
                  <c:v>100</c:v>
                </c:pt>
                <c:pt idx="1">
                  <c:v>99.01</c:v>
                </c:pt>
                <c:pt idx="2">
                  <c:v>99.19</c:v>
                </c:pt>
                <c:pt idx="3">
                  <c:v>92.92</c:v>
                </c:pt>
                <c:pt idx="4">
                  <c:v>67.959999999999994</c:v>
                </c:pt>
                <c:pt idx="5">
                  <c:v>48.04</c:v>
                </c:pt>
                <c:pt idx="6">
                  <c:v>31.25</c:v>
                </c:pt>
                <c:pt idx="7">
                  <c:v>25.06</c:v>
                </c:pt>
                <c:pt idx="8">
                  <c:v>23.29</c:v>
                </c:pt>
                <c:pt idx="9">
                  <c:v>21.79</c:v>
                </c:pt>
                <c:pt idx="10">
                  <c:v>19.899999999999999</c:v>
                </c:pt>
                <c:pt idx="11">
                  <c:v>19.579999999999998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1-4684-9FAE-F9814E889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3575312"/>
        <c:axId val="1035376560"/>
      </c:scatterChart>
      <c:valAx>
        <c:axId val="1033575312"/>
        <c:scaling>
          <c:orientation val="minMax"/>
          <c:max val="3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对数上下文长度</a:t>
                </a:r>
                <a:r>
                  <a:rPr lang="en-US" altLang="zh-CN"/>
                  <a:t>/lg1000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376560"/>
        <c:crosses val="autoZero"/>
        <c:crossBetween val="midCat"/>
      </c:valAx>
      <c:valAx>
        <c:axId val="10353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平均准确率得分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7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json失败几率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Sheet1!$B$6:$M$6</c:f>
              <c:numCache>
                <c:formatCode>General</c:formatCode>
                <c:ptCount val="12"/>
                <c:pt idx="0">
                  <c:v>1</c:v>
                </c:pt>
                <c:pt idx="1">
                  <c:v>1.3010299956639813</c:v>
                </c:pt>
                <c:pt idx="2">
                  <c:v>1.3979400086720377</c:v>
                </c:pt>
                <c:pt idx="3">
                  <c:v>1.4771212547196624</c:v>
                </c:pt>
                <c:pt idx="4">
                  <c:v>1.5440680443502757</c:v>
                </c:pt>
                <c:pt idx="5">
                  <c:v>1.6020599913279623</c:v>
                </c:pt>
                <c:pt idx="6">
                  <c:v>1.6989700043360187</c:v>
                </c:pt>
                <c:pt idx="7">
                  <c:v>1.8450980400142569</c:v>
                </c:pt>
                <c:pt idx="8">
                  <c:v>2</c:v>
                </c:pt>
                <c:pt idx="9">
                  <c:v>2.3010299956639813</c:v>
                </c:pt>
                <c:pt idx="10">
                  <c:v>2.6989700043360187</c:v>
                </c:pt>
                <c:pt idx="11">
                  <c:v>2.9542425094393248</c:v>
                </c:pt>
              </c:numCache>
            </c:numRef>
          </c:xVal>
          <c:yVal>
            <c:numRef>
              <c:f>Sheet1!$B$11:$M$11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0.41666666666666669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2-42C4-B7C9-0B89DEA83B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2212704"/>
        <c:axId val="1062214144"/>
      </c:scatterChart>
      <c:valAx>
        <c:axId val="10622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对数上下文长度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/lg1000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4144"/>
        <c:crosses val="autoZero"/>
        <c:crossBetween val="midCat"/>
      </c:valAx>
      <c:valAx>
        <c:axId val="1062214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json</a:t>
                </a:r>
                <a:r>
                  <a:rPr lang="zh-CN" alt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输出失败概率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准确率分数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Sheet1!$B$7:$M$7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200</c:v>
                </c:pt>
                <c:pt idx="10">
                  <c:v>500</c:v>
                </c:pt>
                <c:pt idx="11">
                  <c:v>900</c:v>
                </c:pt>
              </c:numCache>
            </c:numRef>
          </c:xVal>
          <c:yVal>
            <c:numRef>
              <c:f>Sheet1!$B$8:$M$8</c:f>
              <c:numCache>
                <c:formatCode>General</c:formatCode>
                <c:ptCount val="12"/>
                <c:pt idx="0">
                  <c:v>100</c:v>
                </c:pt>
                <c:pt idx="1">
                  <c:v>99.01</c:v>
                </c:pt>
                <c:pt idx="2">
                  <c:v>99.19</c:v>
                </c:pt>
                <c:pt idx="3">
                  <c:v>92.92</c:v>
                </c:pt>
                <c:pt idx="4">
                  <c:v>67.959999999999994</c:v>
                </c:pt>
                <c:pt idx="5">
                  <c:v>48.04</c:v>
                </c:pt>
                <c:pt idx="6">
                  <c:v>31.25</c:v>
                </c:pt>
                <c:pt idx="7">
                  <c:v>25.06</c:v>
                </c:pt>
                <c:pt idx="8">
                  <c:v>23.29</c:v>
                </c:pt>
                <c:pt idx="9">
                  <c:v>21.79</c:v>
                </c:pt>
                <c:pt idx="10">
                  <c:v>19.899999999999999</c:v>
                </c:pt>
                <c:pt idx="11">
                  <c:v>19.579999999999998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01-404F-B2AA-4AA712860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438080"/>
        <c:axId val="633438560"/>
      </c:scatterChart>
      <c:valAx>
        <c:axId val="63343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上下文长度</a:t>
                </a:r>
                <a:r>
                  <a:rPr lang="en-US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560"/>
        <c:crosses val="autoZero"/>
        <c:crossBetween val="midCat"/>
      </c:valAx>
      <c:valAx>
        <c:axId val="6334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平均准确率得分</a:t>
                </a:r>
                <a:endPara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41274</xdr:rowOff>
    </xdr:from>
    <xdr:to>
      <xdr:col>11</xdr:col>
      <xdr:colOff>469900</xdr:colOff>
      <xdr:row>37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EF86A99-D263-5B96-2888-59685E841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63500</xdr:colOff>
      <xdr:row>16</xdr:row>
      <xdr:rowOff>158750</xdr:rowOff>
    </xdr:from>
    <xdr:to>
      <xdr:col>21</xdr:col>
      <xdr:colOff>184150</xdr:colOff>
      <xdr:row>37</xdr:row>
      <xdr:rowOff>133349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5D04987-EA88-DDAA-D133-0B2FB5BDF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425450</xdr:colOff>
      <xdr:row>3</xdr:row>
      <xdr:rowOff>114300</xdr:rowOff>
    </xdr:from>
    <xdr:to>
      <xdr:col>22</xdr:col>
      <xdr:colOff>374650</xdr:colOff>
      <xdr:row>17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C991328-BF01-6A21-A8F0-74D0C2C4B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963-1B49-4BC1-9B5F-974CC57C7A39}">
  <dimension ref="A6:M11"/>
  <sheetViews>
    <sheetView tabSelected="1" topLeftCell="A4" zoomScaleNormal="100" workbookViewId="0">
      <selection activeCell="N8" sqref="N8"/>
    </sheetView>
  </sheetViews>
  <sheetFormatPr defaultRowHeight="14" x14ac:dyDescent="0.3"/>
  <cols>
    <col min="1" max="1" width="15.08203125" customWidth="1"/>
  </cols>
  <sheetData>
    <row r="6" spans="1:13" x14ac:dyDescent="0.3">
      <c r="A6" t="s">
        <v>0</v>
      </c>
      <c r="B6">
        <f>LOG10(B7)</f>
        <v>1</v>
      </c>
      <c r="C6">
        <f>LOG10(C7)</f>
        <v>1.3010299956639813</v>
      </c>
      <c r="D6">
        <f t="shared" ref="D6:M6" si="0">LOG10(D7)</f>
        <v>1.3979400086720377</v>
      </c>
      <c r="E6">
        <f t="shared" si="0"/>
        <v>1.4771212547196624</v>
      </c>
      <c r="F6">
        <f t="shared" si="0"/>
        <v>1.5440680443502757</v>
      </c>
      <c r="G6">
        <f t="shared" si="0"/>
        <v>1.6020599913279623</v>
      </c>
      <c r="H6">
        <f t="shared" si="0"/>
        <v>1.6989700043360187</v>
      </c>
      <c r="I6">
        <f t="shared" si="0"/>
        <v>1.8450980400142569</v>
      </c>
      <c r="J6">
        <f t="shared" si="0"/>
        <v>2</v>
      </c>
      <c r="K6">
        <f t="shared" si="0"/>
        <v>2.3010299956639813</v>
      </c>
      <c r="L6">
        <f t="shared" si="0"/>
        <v>2.6989700043360187</v>
      </c>
      <c r="M6">
        <f t="shared" si="0"/>
        <v>2.9542425094393248</v>
      </c>
    </row>
    <row r="7" spans="1:13" x14ac:dyDescent="0.3">
      <c r="A7" t="s">
        <v>1</v>
      </c>
      <c r="B7">
        <v>10</v>
      </c>
      <c r="C7">
        <v>20</v>
      </c>
      <c r="D7">
        <v>25</v>
      </c>
      <c r="E7">
        <v>30</v>
      </c>
      <c r="F7">
        <v>35</v>
      </c>
      <c r="G7">
        <v>40</v>
      </c>
      <c r="H7">
        <v>50</v>
      </c>
      <c r="I7">
        <v>70</v>
      </c>
      <c r="J7">
        <v>100</v>
      </c>
      <c r="K7">
        <v>200</v>
      </c>
      <c r="L7">
        <v>500</v>
      </c>
      <c r="M7">
        <v>900</v>
      </c>
    </row>
    <row r="8" spans="1:13" x14ac:dyDescent="0.3">
      <c r="A8" t="s">
        <v>2</v>
      </c>
      <c r="B8">
        <v>100</v>
      </c>
      <c r="C8">
        <v>99.01</v>
      </c>
      <c r="D8">
        <v>99.19</v>
      </c>
      <c r="E8">
        <v>92.92</v>
      </c>
      <c r="F8">
        <v>67.959999999999994</v>
      </c>
      <c r="G8">
        <v>48.04</v>
      </c>
      <c r="H8">
        <v>31.25</v>
      </c>
      <c r="I8">
        <v>25.06</v>
      </c>
      <c r="J8">
        <v>23.29</v>
      </c>
      <c r="K8">
        <v>21.79</v>
      </c>
      <c r="L8">
        <v>19.899999999999999</v>
      </c>
      <c r="M8">
        <v>19.579999999999998</v>
      </c>
    </row>
    <row r="9" spans="1:13" x14ac:dyDescent="0.3">
      <c r="A9" t="s">
        <v>3</v>
      </c>
      <c r="B9">
        <v>40</v>
      </c>
      <c r="C9">
        <v>38</v>
      </c>
      <c r="D9">
        <v>43</v>
      </c>
      <c r="E9">
        <v>36</v>
      </c>
      <c r="F9">
        <v>29</v>
      </c>
      <c r="G9">
        <v>37</v>
      </c>
      <c r="H9">
        <v>32</v>
      </c>
      <c r="I9">
        <v>53</v>
      </c>
      <c r="J9">
        <v>35</v>
      </c>
      <c r="K9">
        <v>35</v>
      </c>
      <c r="L9">
        <v>26</v>
      </c>
      <c r="M9">
        <v>24</v>
      </c>
    </row>
    <row r="10" spans="1:13" x14ac:dyDescent="0.3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</v>
      </c>
    </row>
    <row r="11" spans="1:13" x14ac:dyDescent="0.3">
      <c r="A11" t="s">
        <v>5</v>
      </c>
      <c r="B11">
        <f>B10/B9</f>
        <v>0</v>
      </c>
      <c r="C11">
        <f t="shared" ref="C11:M11" si="1">C10/C9</f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0.41666666666666669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 恋</dc:creator>
  <cp:lastModifiedBy>月 恋</cp:lastModifiedBy>
  <dcterms:created xsi:type="dcterms:W3CDTF">2025-10-23T12:55:34Z</dcterms:created>
  <dcterms:modified xsi:type="dcterms:W3CDTF">2025-11-06T05:23:08Z</dcterms:modified>
</cp:coreProperties>
</file>